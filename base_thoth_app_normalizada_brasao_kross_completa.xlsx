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fdd25accf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RODUTOS" sheetId="1" r:id="R278053159c6f437b"/>
    <x:sheet xmlns:r="http://schemas.openxmlformats.org/officeDocument/2006/relationships" name="INSTRUCOES" sheetId="2" r:id="R1bd23a7abd684001"/>
    <x:sheet xmlns:r="http://schemas.openxmlformats.org/officeDocument/2006/relationships" name="RESUMO" sheetId="3" r:id="R9703417a402b42d7"/>
    <x:sheet xmlns:r="http://schemas.openxmlformats.org/officeDocument/2006/relationships" name="PENDENCIAS" sheetId="4" r:id="Rb1aa727a7b8b4a64"/>
  </x:sheets>
</x:workbook>
</file>

<file path=xl/comments1.xml><?xml version="1.0" encoding="utf-8"?>
<x:comments xmlns:x="http://schemas.openxmlformats.org/spreadsheetml/2006/main">
  <x:authors>
    <x:author>ChatGPT</x:author>
  </x:authors>
  <x:commentList>
    <x:comment ref="C1" authorId="0">
      <x:text>
        <x:r>
          <x:t>Separe sinônimos por ponto e vírgula. Inclua descrições completas que aparecem no PDF.</x:t>
        </x:r>
      </x:text>
    </x:comment>
    <x:comment ref="F1" authorId="0">
      <x:text>
        <x:r>
          <x:t>Valores esperados: CAIXA, PESO, UNIDADE, UND, BANDEJA ou BDJ.</x:t>
        </x:r>
      </x:text>
    </x:comment>
    <x:comment ref="G1" authorId="0">
      <x:text>
        <x:r>
          <x:t>Preencha quando modo_conversao = PESO. Ex.: 20 para 20kg por caixa.</x:t>
        </x:r>
      </x:text>
    </x:comment>
    <x:comment ref="H1" authorId="0">
      <x:text>
        <x:r>
          <x:t>Preencha quando modo_conversao = UNIDADE/UND.</x:t>
        </x:r>
      </x:text>
    </x:comment>
    <x:comment ref="I1" authorId="0">
      <x:text>
        <x:r>
          <x:t>Preencha quando modo_conversao = BANDEJA/BDJ.</x:t>
        </x:r>
      </x:text>
    </x:comment>
    <x:comment ref="L1" authorId="0">
      <x:text>
        <x:r>
          <x:t>Validação automática do cadastro.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  <x:sz val="14"/>
      <x:color rgb="00FFFFFF"/>
    </x:font>
    <x:font>
      <x:b/>
    </x:font>
  </x:fonts>
  <x:fills count="6">
    <x:fill>
      <x:patternFill patternType="none"/>
    </x:fill>
    <x:fill>
      <x:patternFill patternType="gray125"/>
    </x:fill>
    <x:fill>
      <x:patternFill patternType="solid">
        <x:fgColor rgb="001F3A5F"/>
      </x:patternFill>
    </x:fill>
    <x:fill>
      <x:patternFill patternType="solid">
        <x:fgColor rgb="00E8F5E9"/>
      </x:patternFill>
    </x:fill>
    <x:fill>
      <x:patternFill patternType="solid">
        <x:fgColor rgb="00FFF3CD"/>
      </x:patternFill>
    </x:fill>
    <x:fill>
      <x:patternFill patternType="solid">
        <x:fgColor rgb="00157A6E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/>
    </x:xf>
    <x:xf numFmtId="0" fontId="0" fillId="3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0" borderId="0" xfId="0" applyAlignment="1">
      <x:alignment vertical="center" wrapText="1"/>
    </x:xf>
    <x:xf numFmtId="0" fontId="2" fillId="4" borderId="0" xfId="0" applyAlignment="1">
      <x:alignment vertical="center" wrapText="1"/>
    </x:xf>
    <x:xf numFmtId="0" fontId="3" fillId="2" borderId="0" xfId="0"/>
    <x:xf numFmtId="0" fontId="0" fillId="0" borderId="1" xfId="0" applyAlignment="1">
      <x:alignment vertical="center" wrapText="1"/>
    </x:xf>
    <x:xf numFmtId="0" fontId="1" fillId="5" borderId="0" xfId="0"/>
    <x:xf numFmtId="0" fontId="4" fillId="0" borderId="0" xfId="0"/>
  </x:cellXfs>
  <x:cellStyles count="1">
    <x:cellStyle name="Normal" xfId="0"/>
  </x:cellStyles>
  <x:dxfs count="2">
    <x:dxf>
      <x:fill>
        <x:patternFill>
          <x:bgColor rgb="00E8F5E9"/>
        </x:patternFill>
      </x:fill>
    </x:dxf>
    <x:dxf>
      <x:fill>
        <x:patternFill>
          <x:bgColor rgb="00FDED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0bfbff43b45da" /><Relationship Type="http://schemas.openxmlformats.org/officeDocument/2006/relationships/theme" Target="/xl/theme/theme1.xml" Id="Rf7074637d4974a29" /><Relationship Type="http://schemas.openxmlformats.org/officeDocument/2006/relationships/sharedStrings" Target="/xl/sharedStrings.xml" Id="Rc2a553b93f194842" /><Relationship Type="http://schemas.openxmlformats.org/officeDocument/2006/relationships/worksheet" Target="/xl/worksheets/sheet1.xml" Id="R278053159c6f437b" /><Relationship Type="http://schemas.openxmlformats.org/officeDocument/2006/relationships/worksheet" Target="/xl/worksheets/sheet2.xml" Id="R1bd23a7abd684001" /><Relationship Type="http://schemas.openxmlformats.org/officeDocument/2006/relationships/worksheet" Target="/xl/worksheets/sheet3.xml" Id="R9703417a402b42d7" /><Relationship Type="http://schemas.openxmlformats.org/officeDocument/2006/relationships/worksheet" Target="/xl/worksheets/sheet4.xml" Id="Rb1aa727a7b8b4a64" /><Relationship Type="http://schemas.microsoft.com/office/2017/10/relationships/person" Target="/xl/persons/person.xml" Id="R283c372039a647b7" /></Relationships>
</file>

<file path=xl/persons/person.xml><?xml version="1.0" encoding="utf-8"?>
<xltc:personList xmlns:xltc="http://schemas.microsoft.com/office/spreadsheetml/2018/threadedcomments">
  <xltc:person displayName="ChatGPT" id="{716729F1-5E1D-1825-0020-D2DC8F392FB2}"/>
</xltc:personList>
</file>

<file path=xl/tables/table1.xml><?xml version="1.0" encoding="utf-8"?>
<x:table xmlns:x="http://schemas.openxmlformats.org/spreadsheetml/2006/main" id="1" name="tbl_base_produtos" displayName="tbl_base_produtos" ref="A1:L33" headerRowCount="1">
  <x:autoFilter ref="A1:L33"/>
  <x:tableColumns count="12">
    <x:tableColumn id="1" name="categoria"/>
    <x:tableColumn id="2" name="produto_base"/>
    <x:tableColumn id="3" name="sinonimos"/>
    <x:tableColumn id="4" name="codigo"/>
    <x:tableColumn id="5" name="cod_forn"/>
    <x:tableColumn id="6" name="modo_conversao"/>
    <x:tableColumn id="7" name="peso_caixa"/>
    <x:tableColumn id="8" name="itens_por_caixa"/>
    <x:tableColumn id="9" name="bandejas_por_caixa"/>
    <x:tableColumn id="10" name="status_base"/>
    <x:tableColumn id="11" name="observacoes"/>
    <x:tableColumn id="12" name="validacao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7d0d3cdb98c43f0" /><Relationship Type="http://schemas.openxmlformats.org/officeDocument/2006/relationships/vmlDrawing" Target="/xl/drawings/vmldrawing.vml" Id="R5aee1580e30f48a6" /><Relationship Type="http://schemas.openxmlformats.org/officeDocument/2006/relationships/table" Target="/xl/tables/table1.xml" Id="R59114ae3d2fa462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8" customWidth="1"/>
    <x:col min="3" max="3" width="70" customWidth="1"/>
    <x:col min="4" max="4" width="12" customWidth="1"/>
    <x:col min="5" max="5" width="12" customWidth="1"/>
    <x:col min="6" max="6" width="18" customWidth="1"/>
    <x:col min="7" max="7" width="12" customWidth="1"/>
    <x:col min="8" max="8" width="16" customWidth="1"/>
    <x:col min="9" max="9" width="19" customWidth="1"/>
    <x:col min="10" max="10" width="14" customWidth="1"/>
    <x:col min="11" max="11" width="44" customWidth="1"/>
    <x:col min="12" max="12" width="34" customWidth="1"/>
  </x:cols>
  <x:sheetData>
    <x:row r="1">
      <x:c r="A1" s="1" t="inlineStr">
        <x:is>
          <x:t xml:space="preserve">categoria</x:t>
        </x:is>
      </x:c>
      <x:c r="B1" s="1" t="inlineStr">
        <x:is>
          <x:t xml:space="preserve">produto_base</x:t>
        </x:is>
      </x:c>
      <x:c r="C1" s="1" t="inlineStr">
        <x:is>
          <x:t xml:space="preserve">sinonimos</x:t>
        </x:is>
      </x:c>
      <x:c r="D1" s="1" t="inlineStr">
        <x:is>
          <x:t xml:space="preserve">codigo</x:t>
        </x:is>
      </x:c>
      <x:c r="E1" s="1" t="inlineStr">
        <x:is>
          <x:t xml:space="preserve">cod_forn</x:t>
        </x:is>
      </x:c>
      <x:c r="F1" s="1" t="inlineStr">
        <x:is>
          <x:t xml:space="preserve">modo_conversao</x:t>
        </x:is>
      </x:c>
      <x:c r="G1" s="1" t="inlineStr">
        <x:is>
          <x:t xml:space="preserve">peso_caixa</x:t>
        </x:is>
      </x:c>
      <x:c r="H1" s="1" t="inlineStr">
        <x:is>
          <x:t xml:space="preserve">itens_por_caixa</x:t>
        </x:is>
      </x:c>
      <x:c r="I1" s="1" t="inlineStr">
        <x:is>
          <x:t xml:space="preserve">bandejas_por_caixa</x:t>
        </x:is>
      </x:c>
      <x:c r="J1" s="1" t="inlineStr">
        <x:is>
          <x:t xml:space="preserve">status_base</x:t>
        </x:is>
      </x:c>
      <x:c r="K1" s="1" t="inlineStr">
        <x:is>
          <x:t xml:space="preserve">observacoes</x:t>
        </x:is>
      </x:c>
      <x:c r="L1" s="1" t="inlineStr">
        <x:is>
          <x:t xml:space="preserve">validacao</x:t>
        </x:is>
      </x:c>
    </x:row>
    <x:row r="2" ht="30" customHeight="1">
      <x:c r="A2" s="2" t="inlineStr">
        <x:is>
          <x:t xml:space="preserve">FRUTAS</x:t>
        </x:is>
      </x:c>
      <x:c r="B2" s="2" t="inlineStr">
        <x:is>
          <x:t xml:space="preserve">LARANJA KINKAN</x:t>
        </x:is>
      </x:c>
      <x:c r="C2" s="2" t="inlineStr">
        <x:is>
          <x:t xml:space="preserve">KINKAN; LARANJA KINKAN KG; LARANJA KINKAN BRASAO FRUTA</x:t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>PESO</x:t>
        </x:is>
      </x:c>
      <x:c r="G2" s="3" t="n">
        <x:v>20</x:v>
      </x:c>
      <x:c r="H2" s="3" t="inlineStr">
        <x:is>
          <x:t xml:space="preserve"/>
        </x:is>
      </x:c>
      <x:c r="I2" s="3" t="inlineStr">
        <x:is>
          <x:t xml:space="preserve"/>
        </x:is>
      </x:c>
      <x:c r="J2" s="2" t="inlineStr">
        <x:is>
          <x:t xml:space="preserve">CONFIRMADO</x:t>
        </x:is>
      </x:c>
      <x:c r="K2" s="2" t="inlineStr">
        <x:is>
          <x:t xml:space="preserve">Confirmado pelo usuário: 400/20kg = 20 caixas.</x:t>
        </x:is>
      </x:c>
      <x:c r="L2" s="2" t="str">
        <x:f>IF(OR(F2="",A2="",B2=""),"PENDENTE - cadastro incompleto",IF(F2="CAIXA","OK",IF(F2="PESO",IF(G2&gt;0,"OK","PENDENTE - preencher peso_caixa"),IF(OR(F2="UNIDADE",F2="UND"),IF(H2&gt;0,"OK","PENDENTE - preencher itens_por_caixa"),IF(OR(F2="BANDEJA",F2="BDJ"),IF(I2&gt;0,"OK","PENDENTE - preencher bandejas_por_caixa"),"PENDENTE - modo inválido")))))</x:f>
        <x:v>OK</x:v>
      </x:c>
    </x:row>
    <x:row r="3" ht="30" customHeight="1">
      <x:c r="A3" s="2" t="inlineStr">
        <x:is>
          <x:t xml:space="preserve">FRUTAS</x:t>
        </x:is>
      </x:c>
      <x:c r="B3" s="2" t="inlineStr">
        <x:is>
          <x:t xml:space="preserve">LARANJA MAQUINA DE SUCO</x:t>
        </x:is>
      </x:c>
      <x:c r="C3" s="2" t="inlineStr">
        <x:is>
          <x:t xml:space="preserve">LARANJA MAQUINA DE SUCO; LARANJA SUCO</x:t>
        </x:is>
      </x:c>
      <x:c r="D3" s="3" t="inlineStr">
        <x:is>
          <x:t xml:space="preserve"/>
        </x:is>
      </x:c>
      <x:c r="E3" s="3" t="inlineStr">
        <x:is>
          <x:t xml:space="preserve"/>
        </x:is>
      </x:c>
      <x:c r="F3" s="3" t="inlineStr">
        <x:is>
          <x:t xml:space="preserve">PESO</x:t>
        </x:is>
      </x:c>
      <x:c r="G3" s="3" t="n">
        <x:v>20</x:v>
      </x:c>
      <x:c r="H3" s="3" t="inlineStr">
        <x:is>
          <x:t xml:space="preserve"/>
        </x:is>
      </x:c>
      <x:c r="I3" s="3" t="inlineStr">
        <x:is>
          <x:t xml:space="preserve"/>
        </x:is>
      </x:c>
      <x:c r="J3" s="2" t="inlineStr">
        <x:is>
          <x:t xml:space="preserve">CONFIRMADO</x:t>
        </x:is>
      </x:c>
      <x:c r="K3" s="2" t="inlineStr">
        <x:is>
          <x:t xml:space="preserve">Usar 20kg por caixa conforme exemplo do CD.</x:t>
        </x:is>
      </x:c>
      <x:c r="L3" s="2" t="str">
        <x:f>IF(OR(F3="",A3="",B3=""),"PENDENTE - cadastro incompleto",IF(F3="CAIXA","OK",IF(F3="PESO",IF(G3&gt;0,"OK","PENDENTE - preencher peso_caixa"),IF(OR(F3="UNIDADE",F3="UND"),IF(H3&gt;0,"OK","PENDENTE - preencher itens_por_caixa"),IF(OR(F3="BANDEJA",F3="BDJ"),IF(I3&gt;0,"OK","PENDENTE - preencher bandejas_por_caixa"),"PENDENTE - modo inválido")))))</x:f>
        <x:v>OK</x:v>
      </x:c>
    </x:row>
    <x:row r="4" ht="30" customHeight="1">
      <x:c r="A4" s="2" t="inlineStr">
        <x:is>
          <x:t xml:space="preserve">FRUTAS</x:t>
        </x:is>
      </x:c>
      <x:c r="B4" s="2" t="inlineStr">
        <x:is>
          <x:t xml:space="preserve">LIMAO SICILIANO</x:t>
        </x:is>
      </x:c>
      <x:c r="C4" s="2" t="inlineStr">
        <x:is>
          <x:t xml:space="preserve">LIMAO SICILIANO KG; LIMAO SICILIANO</x:t>
        </x:is>
      </x:c>
      <x:c r="D4" s="3" t="inlineStr">
        <x:is>
          <x:t xml:space="preserve"/>
        </x:is>
      </x:c>
      <x:c r="E4" s="3" t="inlineStr">
        <x:is>
          <x:t xml:space="preserve"/>
        </x:is>
      </x:c>
      <x:c r="F4" s="3" t="inlineStr">
        <x:is>
          <x:t xml:space="preserve">PESO</x:t>
        </x:is>
      </x:c>
      <x:c r="G4" s="3" t="n">
        <x:v>20</x:v>
      </x:c>
      <x:c r="H4" s="3" t="inlineStr">
        <x:is>
          <x:t xml:space="preserve"/>
        </x:is>
      </x:c>
      <x:c r="I4" s="3" t="inlineStr">
        <x:is>
          <x:t xml:space="preserve"/>
        </x:is>
      </x:c>
      <x:c r="J4" s="2" t="inlineStr">
        <x:is>
          <x:t xml:space="preserve">CONFIRMADO</x:t>
        </x:is>
      </x:c>
      <x:c r="K4" s="2" t="inlineStr">
        <x:is>
          <x:t xml:space="preserve">Confirmado pelo usuário: 1000/20kg = 50 caixas.</x:t>
        </x:is>
      </x:c>
      <x:c r="L4" s="2" t="str">
        <x:f>IF(OR(F4="",A4="",B4=""),"PENDENTE - cadastro incompleto",IF(F4="CAIXA","OK",IF(F4="PESO",IF(G4&gt;0,"OK","PENDENTE - preencher peso_caixa"),IF(OR(F4="UNIDADE",F4="UND"),IF(H4&gt;0,"OK","PENDENTE - preencher itens_por_caixa"),IF(OR(F4="BANDEJA",F4="BDJ"),IF(I4&gt;0,"OK","PENDENTE - preencher bandejas_por_caixa"),"PENDENTE - modo inválido")))))</x:f>
        <x:v>OK</x:v>
      </x:c>
    </x:row>
    <x:row r="5" ht="30" customHeight="1">
      <x:c r="A5" s="2" t="inlineStr">
        <x:is>
          <x:t xml:space="preserve">FRUTAS</x:t>
        </x:is>
      </x:c>
      <x:c r="B5" s="2" t="inlineStr">
        <x:is>
          <x:t xml:space="preserve">LIMAO TAHITI</x:t>
        </x:is>
      </x:c>
      <x:c r="C5" s="2" t="inlineStr">
        <x:is>
          <x:t xml:space="preserve">LIMAO TAHITI KG; LIMAO TAHITI</x:t>
        </x:is>
      </x:c>
      <x:c r="D5" s="3" t="inlineStr">
        <x:is>
          <x:t xml:space="preserve"/>
        </x:is>
      </x:c>
      <x:c r="E5" s="3" t="inlineStr">
        <x:is>
          <x:t xml:space="preserve"/>
        </x:is>
      </x:c>
      <x:c r="F5" s="3" t="inlineStr">
        <x:is>
          <x:t xml:space="preserve">PESO</x:t>
        </x:is>
      </x:c>
      <x:c r="G5" s="3" t="n">
        <x:v>20</x:v>
      </x:c>
      <x:c r="H5" s="3" t="inlineStr">
        <x:is>
          <x:t xml:space="preserve"/>
        </x:is>
      </x:c>
      <x:c r="I5" s="3" t="inlineStr">
        <x:is>
          <x:t xml:space="preserve"/>
        </x:is>
      </x:c>
      <x:c r="J5" s="2" t="inlineStr">
        <x:is>
          <x:t xml:space="preserve">CONFIRMADO</x:t>
        </x:is>
      </x:c>
      <x:c r="K5" s="2" t="inlineStr">
        <x:is>
          <x:t xml:space="preserve">Usar 20kg por caixa conforme exemplo do CD.</x:t>
        </x:is>
      </x:c>
      <x:c r="L5" s="2" t="str">
        <x:f>IF(OR(F5="",A5="",B5=""),"PENDENTE - cadastro incompleto",IF(F5="CAIXA","OK",IF(F5="PESO",IF(G5&gt;0,"OK","PENDENTE - preencher peso_caixa"),IF(OR(F5="UNIDADE",F5="UND"),IF(H5&gt;0,"OK","PENDENTE - preencher itens_por_caixa"),IF(OR(F5="BANDEJA",F5="BDJ"),IF(I5&gt;0,"OK","PENDENTE - preencher bandejas_por_caixa"),"PENDENTE - modo inválido")))))</x:f>
        <x:v>OK</x:v>
      </x:c>
    </x:row>
    <x:row r="6" ht="30" customHeight="1">
      <x:c r="A6" s="4" t="inlineStr">
        <x:is>
          <x:t xml:space="preserve">LEGUMES</x:t>
        </x:is>
      </x:c>
      <x:c r="B6" s="4" t="inlineStr">
        <x:is>
          <x:t xml:space="preserve">ABOBORA PESCOCO</x:t>
        </x:is>
      </x:c>
      <x:c r="C6" s="4" t="inlineStr">
        <x:is>
          <x:t xml:space="preserve">ABOBORA PESCOCO KG BRASAO FRUTA; ABOBORA PESCOCO KG; ABOBORA PESCOCO</x:t>
        </x:is>
      </x:c>
      <x:c r="D6" s="5" t="inlineStr">
        <x:is>
          <x:t xml:space="preserve"/>
        </x:is>
      </x:c>
      <x:c r="E6" s="5" t="inlineStr">
        <x:is>
          <x:t xml:space="preserve"/>
        </x:is>
      </x:c>
      <x:c r="F6" s="5" t="inlineStr">
        <x:is>
          <x:t xml:space="preserve">PESO</x:t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6" t="inlineStr">
        <x:is>
          <x:t xml:space="preserve"/>
        </x:is>
      </x:c>
      <x:c r="J6" s="4" t="inlineStr">
        <x:is>
          <x:t xml:space="preserve">REVISAR</x:t>
        </x:is>
      </x:c>
      <x:c r="K6" s="4" t="inlineStr">
        <x:is>
          <x:t xml:space="preserve">Produto apareceu no log. Falta confirmar peso por caixa.</x:t>
        </x:is>
      </x:c>
      <x:c r="L6" s="4" t="str">
        <x:f>IF(OR(F6="",A6="",B6=""),"PENDENTE - cadastro incompleto",IF(F6="CAIXA","OK",IF(F6="PESO",IF(G6&gt;0,"OK","PENDENTE - preencher peso_caixa"),IF(OR(F6="UNIDADE",F6="UND"),IF(H6&gt;0,"OK","PENDENTE - preencher itens_por_caixa"),IF(OR(F6="BANDEJA",F6="BDJ"),IF(I6&gt;0,"OK","PENDENTE - preencher bandejas_por_caixa"),"PENDENTE - modo inválido")))))</x:f>
        <x:v>PENDENTE - preencher peso_caixa</x:v>
      </x:c>
    </x:row>
    <x:row r="7" ht="30" customHeight="1">
      <x:c r="A7" s="4" t="inlineStr">
        <x:is>
          <x:t xml:space="preserve">FRUTAS</x:t>
        </x:is>
      </x:c>
      <x:c r="B7" s="4" t="inlineStr">
        <x:is>
          <x:t xml:space="preserve">AMEIXA NACIONAL</x:t>
        </x:is>
      </x:c>
      <x:c r="C7" s="4" t="inlineStr">
        <x:is>
          <x:t xml:space="preserve">AMEIXA NACIONAL DEMARCHI BDJ 500G SHELF 30 DE MARCHI; AMEIXA NACIONAL DEMARCHI; AMEIXA NACIONAL</x:t>
        </x:is>
      </x:c>
      <x:c r="D7" s="5" t="inlineStr">
        <x:is>
          <x:t xml:space="preserve"/>
        </x:is>
      </x:c>
      <x:c r="E7" s="5" t="inlineStr">
        <x:is>
          <x:t xml:space="preserve"/>
        </x:is>
      </x:c>
      <x:c r="F7" s="5" t="inlineStr">
        <x:is>
          <x:t xml:space="preserve">BANDEJA</x:t>
        </x:is>
      </x:c>
      <x:c r="G7" s="6" t="inlineStr">
        <x:is>
          <x:t xml:space="preserve"/>
        </x:is>
      </x:c>
      <x:c r="H7" s="6" t="inlineStr">
        <x:is>
          <x:t xml:space="preserve"/>
        </x:is>
      </x:c>
      <x:c r="I7" s="6" t="inlineStr">
        <x:is>
          <x:t xml:space="preserve"/>
        </x:is>
      </x:c>
      <x:c r="J7" s="4" t="inlineStr">
        <x:is>
          <x:t xml:space="preserve">REVISAR</x:t>
        </x:is>
      </x:c>
      <x:c r="K7" s="4" t="inlineStr">
        <x:is>
          <x:t xml:space="preserve">Produto apareceu no log. Falta confirmar bandejas por caixa.</x:t>
        </x:is>
      </x:c>
      <x:c r="L7" s="4" t="str">
        <x:f>IF(OR(F7="",A7="",B7=""),"PENDENTE - cadastro incompleto",IF(F7="CAIXA","OK",IF(F7="PESO",IF(G7&gt;0,"OK","PENDENTE - preencher peso_caixa"),IF(OR(F7="UNIDADE",F7="UND"),IF(H7&gt;0,"OK","PENDENTE - preencher itens_por_caixa"),IF(OR(F7="BANDEJA",F7="BDJ"),IF(I7&gt;0,"OK","PENDENTE - preencher bandejas_por_caixa"),"PENDENTE - modo inválido")))))</x:f>
        <x:v>PENDENTE - preencher bandejas_por_caixa</x:v>
      </x:c>
    </x:row>
    <x:row r="8" ht="30" customHeight="1">
      <x:c r="A8" s="4" t="inlineStr">
        <x:is>
          <x:t xml:space="preserve">LEGUMES</x:t>
        </x:is>
      </x:c>
      <x:c r="B8" s="4" t="inlineStr">
        <x:is>
          <x:t xml:space="preserve">BATATA SALSA</x:t>
        </x:is>
      </x:c>
      <x:c r="C8" s="4" t="inlineStr">
        <x:is>
          <x:t xml:space="preserve">BATATA SALSA KG BRASAO FRUTA; BATATA SALSA KG; BATATA SALSA</x:t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>PESO</x:t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6" t="inlineStr">
        <x:is>
          <x:t xml:space="preserve"/>
        </x:is>
      </x:c>
      <x:c r="J8" s="4" t="inlineStr">
        <x:is>
          <x:t xml:space="preserve">REVISAR</x:t>
        </x:is>
      </x:c>
      <x:c r="K8" s="4" t="inlineStr">
        <x:is>
          <x:t xml:space="preserve">Produto apareceu no log. Falta confirmar peso por caixa.</x:t>
        </x:is>
      </x:c>
      <x:c r="L8" s="4" t="str">
        <x:f>IF(OR(F8="",A8="",B8=""),"PENDENTE - cadastro incompleto",IF(F8="CAIXA","OK",IF(F8="PESO",IF(G8&gt;0,"OK","PENDENTE - preencher peso_caixa"),IF(OR(F8="UNIDADE",F8="UND"),IF(H8&gt;0,"OK","PENDENTE - preencher itens_por_caixa"),IF(OR(F8="BANDEJA",F8="BDJ"),IF(I8&gt;0,"OK","PENDENTE - preencher bandejas_por_caixa"),"PENDENTE - modo inválido")))))</x:f>
        <x:v>PENDENTE - preencher peso_caixa</x:v>
      </x:c>
    </x:row>
    <x:row r="9" ht="30" customHeight="1">
      <x:c r="A9" s="4" t="inlineStr">
        <x:is>
          <x:t xml:space="preserve">LEGUMES</x:t>
        </x:is>
      </x:c>
      <x:c r="B9" s="4" t="inlineStr">
        <x:is>
          <x:t xml:space="preserve">CEBOLA CONSERVA</x:t>
        </x:is>
      </x:c>
      <x:c r="C9" s="4" t="inlineStr">
        <x:is>
          <x:t xml:space="preserve">CEBOLA CONSERVA KG BRASAO FRUTA; CEBOLA CONSERVA KG; CEBOLA CONSERVA</x:t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>PESO</x:t>
        </x:is>
      </x:c>
      <x:c r="G9" s="6" t="inlineStr">
        <x:is>
          <x:t xml:space="preserve"/>
        </x:is>
      </x:c>
      <x:c r="H9" s="6" t="inlineStr">
        <x:is>
          <x:t xml:space="preserve"/>
        </x:is>
      </x:c>
      <x:c r="I9" s="6" t="inlineStr">
        <x:is>
          <x:t xml:space="preserve"/>
        </x:is>
      </x:c>
      <x:c r="J9" s="4" t="inlineStr">
        <x:is>
          <x:t xml:space="preserve">REVISAR</x:t>
        </x:is>
      </x:c>
      <x:c r="K9" s="4" t="inlineStr">
        <x:is>
          <x:t xml:space="preserve">Produto apareceu no log. Falta confirmar peso por caixa.</x:t>
        </x:is>
      </x:c>
      <x:c r="L9" s="4" t="str">
        <x:f>IF(OR(F9="",A9="",B9=""),"PENDENTE - cadastro incompleto",IF(F9="CAIXA","OK",IF(F9="PESO",IF(G9&gt;0,"OK","PENDENTE - preencher peso_caixa"),IF(OR(F9="UNIDADE",F9="UND"),IF(H9&gt;0,"OK","PENDENTE - preencher itens_por_caixa"),IF(OR(F9="BANDEJA",F9="BDJ"),IF(I9&gt;0,"OK","PENDENTE - preencher bandejas_por_caixa"),"PENDENTE - modo inválido")))))</x:f>
        <x:v>PENDENTE - preencher peso_caixa</x:v>
      </x:c>
    </x:row>
    <x:row r="10" ht="30" customHeight="1">
      <x:c r="A10" s="4" t="inlineStr">
        <x:is>
          <x:t xml:space="preserve">FRUTAS</x:t>
        </x:is>
      </x:c>
      <x:c r="B10" s="4" t="inlineStr">
        <x:is>
          <x:t xml:space="preserve">COCO SECO</x:t>
        </x:is>
      </x:c>
      <x:c r="C10" s="4" t="inlineStr">
        <x:is>
          <x:t xml:space="preserve">COCO SECO FRUTA KG BRASAO FRUTA; COCO SECO KG; COCO SECO</x:t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>PESO</x:t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6" t="inlineStr">
        <x:is>
          <x:t xml:space="preserve"/>
        </x:is>
      </x:c>
      <x:c r="J10" s="4" t="inlineStr">
        <x:is>
          <x:t xml:space="preserve">REVISAR</x:t>
        </x:is>
      </x:c>
      <x:c r="K10" s="4" t="inlineStr">
        <x:is>
          <x:t xml:space="preserve">Produto apareceu no log. Falta confirmar peso por caixa.</x:t>
        </x:is>
      </x:c>
      <x:c r="L10" s="4" t="str">
        <x:f>IF(OR(F10="",A10="",B10=""),"PENDENTE - cadastro incompleto",IF(F10="CAIXA","OK",IF(F10="PESO",IF(G10&gt;0,"OK","PENDENTE - preencher peso_caixa"),IF(OR(F10="UNIDADE",F10="UND"),IF(H10&gt;0,"OK","PENDENTE - preencher itens_por_caixa"),IF(OR(F10="BANDEJA",F10="BDJ"),IF(I10&gt;0,"OK","PENDENTE - preencher bandejas_por_caixa"),"PENDENTE - modo inválido")))))</x:f>
        <x:v>PENDENTE - preencher peso_caixa</x:v>
      </x:c>
    </x:row>
    <x:row r="11" ht="30" customHeight="1">
      <x:c r="A11" s="4" t="inlineStr">
        <x:is>
          <x:t xml:space="preserve">FRUTAS</x:t>
        </x:is>
      </x:c>
      <x:c r="B11" s="4" t="inlineStr">
        <x:is>
          <x:t xml:space="preserve">GOIABA NACIONAL VERMELHA</x:t>
        </x:is>
      </x:c>
      <x:c r="C11" s="4" t="inlineStr">
        <x:is>
          <x:t xml:space="preserve">GOIABA NACIONAL VERMELHA KG BRASAO FRUTA; GOIABA NACIONAL VERMELHA KG; GOIABA NACIONAL VERMELHA</x:t>
        </x:is>
      </x:c>
      <x:c r="D11" s="5" t="inlineStr">
        <x:is>
          <x:t xml:space="preserve"/>
        </x:is>
      </x:c>
      <x:c r="E11" s="5" t="inlineStr">
        <x:is>
          <x:t xml:space="preserve"/>
        </x:is>
      </x:c>
      <x:c r="F11" s="5" t="inlineStr">
        <x:is>
          <x:t xml:space="preserve">PESO</x:t>
        </x:is>
      </x:c>
      <x:c r="G11" s="6" t="inlineStr">
        <x:is>
          <x:t xml:space="preserve"/>
        </x:is>
      </x:c>
      <x:c r="H11" s="6" t="inlineStr">
        <x:is>
          <x:t xml:space="preserve"/>
        </x:is>
      </x:c>
      <x:c r="I11" s="6" t="inlineStr">
        <x:is>
          <x:t xml:space="preserve"/>
        </x:is>
      </x:c>
      <x:c r="J11" s="4" t="inlineStr">
        <x:is>
          <x:t xml:space="preserve">REVISAR</x:t>
        </x:is>
      </x:c>
      <x:c r="K11" s="4" t="inlineStr">
        <x:is>
          <x:t xml:space="preserve">Produto apareceu no log. Falta confirmar peso por caixa.</x:t>
        </x:is>
      </x:c>
      <x:c r="L11" s="4" t="str">
        <x:f>IF(OR(F11="",A11="",B11=""),"PENDENTE - cadastro incompleto",IF(F11="CAIXA","OK",IF(F11="PESO",IF(G11&gt;0,"OK","PENDENTE - preencher peso_caixa"),IF(OR(F11="UNIDADE",F11="UND"),IF(H11&gt;0,"OK","PENDENTE - preencher itens_por_caixa"),IF(OR(F11="BANDEJA",F11="BDJ"),IF(I11&gt;0,"OK","PENDENTE - preencher bandejas_por_caixa"),"PENDENTE - modo inválido")))))</x:f>
        <x:v>PENDENTE - preencher peso_caixa</x:v>
      </x:c>
    </x:row>
    <x:row r="12" ht="30" customHeight="1">
      <x:c r="A12" s="4" t="inlineStr">
        <x:is>
          <x:t xml:space="preserve">FRUTAS</x:t>
        </x:is>
      </x:c>
      <x:c r="B12" s="4" t="inlineStr">
        <x:is>
          <x:t xml:space="preserve">KIWI IMPORTADO GRECIA</x:t>
        </x:is>
      </x:c>
      <x:c r="C12" s="4" t="inlineStr">
        <x:is>
          <x:t xml:space="preserve">KIWI IMPORTADO GRECIA KG BRASAO FRUTA; KIWI IMPORTADO GRECIA KG; KIWI IMPORTADO GRECIA</x:t>
        </x:is>
      </x:c>
      <x:c r="D12" s="5" t="inlineStr">
        <x:is>
          <x:t xml:space="preserve"/>
        </x:is>
      </x:c>
      <x:c r="E12" s="5" t="inlineStr">
        <x:is>
          <x:t xml:space="preserve"/>
        </x:is>
      </x:c>
      <x:c r="F12" s="5" t="inlineStr">
        <x:is>
          <x:t xml:space="preserve">PESO</x:t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6" t="inlineStr">
        <x:is>
          <x:t xml:space="preserve"/>
        </x:is>
      </x:c>
      <x:c r="J12" s="4" t="inlineStr">
        <x:is>
          <x:t xml:space="preserve">REVISAR</x:t>
        </x:is>
      </x:c>
      <x:c r="K12" s="4" t="inlineStr">
        <x:is>
          <x:t xml:space="preserve">Produto apareceu no log. Falta confirmar peso por caixa.</x:t>
        </x:is>
      </x:c>
      <x:c r="L12" s="4" t="str">
        <x:f>IF(OR(F12="",A12="",B12=""),"PENDENTE - cadastro incompleto",IF(F12="CAIXA","OK",IF(F12="PESO",IF(G12&gt;0,"OK","PENDENTE - preencher peso_caixa"),IF(OR(F12="UNIDADE",F12="UND"),IF(H12&gt;0,"OK","PENDENTE - preencher itens_por_caixa"),IF(OR(F12="BANDEJA",F12="BDJ"),IF(I12&gt;0,"OK","PENDENTE - preencher bandejas_por_caixa"),"PENDENTE - modo inválido")))))</x:f>
        <x:v>PENDENTE - preencher peso_caixa</x:v>
      </x:c>
    </x:row>
    <x:row r="13" ht="30" customHeight="1">
      <x:c r="A13" s="4" t="inlineStr">
        <x:is>
          <x:t xml:space="preserve">FRUTAS</x:t>
        </x:is>
      </x:c>
      <x:c r="B13" s="4" t="inlineStr">
        <x:is>
          <x:t xml:space="preserve">KIWI NACIONAL</x:t>
        </x:is>
      </x:c>
      <x:c r="C13" s="4" t="inlineStr">
        <x:is>
          <x:t xml:space="preserve">KIWI NACIONAL DE MARCHI BANDEJA 600G SHELF 15 DE MARCHI; KIWI NACIONAL DE MARCHI; KIWI NACIONAL</x:t>
        </x:is>
      </x:c>
      <x:c r="D13" s="5" t="inlineStr">
        <x:is>
          <x:t xml:space="preserve"/>
        </x:is>
      </x:c>
      <x:c r="E13" s="5" t="inlineStr">
        <x:is>
          <x:t xml:space="preserve"/>
        </x:is>
      </x:c>
      <x:c r="F13" s="5" t="inlineStr">
        <x:is>
          <x:t xml:space="preserve">BANDEJA</x:t>
        </x:is>
      </x:c>
      <x:c r="G13" s="6" t="inlineStr">
        <x:is>
          <x:t xml:space="preserve"/>
        </x:is>
      </x:c>
      <x:c r="H13" s="6" t="inlineStr">
        <x:is>
          <x:t xml:space="preserve"/>
        </x:is>
      </x:c>
      <x:c r="I13" s="6" t="inlineStr">
        <x:is>
          <x:t xml:space="preserve"/>
        </x:is>
      </x:c>
      <x:c r="J13" s="4" t="inlineStr">
        <x:is>
          <x:t xml:space="preserve">REVISAR</x:t>
        </x:is>
      </x:c>
      <x:c r="K13" s="4" t="inlineStr">
        <x:is>
          <x:t xml:space="preserve">Produto apareceu no log. Falta confirmar bandejas por caixa.</x:t>
        </x:is>
      </x:c>
      <x:c r="L13" s="4" t="str">
        <x:f>IF(OR(F13="",A13="",B13=""),"PENDENTE - cadastro incompleto",IF(F13="CAIXA","OK",IF(F13="PESO",IF(G13&gt;0,"OK","PENDENTE - preencher peso_caixa"),IF(OR(F13="UNIDADE",F13="UND"),IF(H13&gt;0,"OK","PENDENTE - preencher itens_por_caixa"),IF(OR(F13="BANDEJA",F13="BDJ"),IF(I13&gt;0,"OK","PENDENTE - preencher bandejas_por_caixa"),"PENDENTE - modo inválido")))))</x:f>
        <x:v>PENDENTE - preencher bandejas_por_caixa</x:v>
      </x:c>
    </x:row>
    <x:row r="14" ht="30" customHeight="1">
      <x:c r="A14" s="4" t="inlineStr">
        <x:is>
          <x:t xml:space="preserve">LEGUMES</x:t>
        </x:is>
      </x:c>
      <x:c r="B14" s="4" t="inlineStr">
        <x:is>
          <x:t xml:space="preserve">MILHO VERDE ESPIGA</x:t>
        </x:is>
      </x:c>
      <x:c r="C14" s="4" t="inlineStr">
        <x:is>
          <x:t xml:space="preserve">MILHO VERDE ESPIGA DE MARCHI BDJ 700G SHELF 10 DE MARCHI; MILHO VERDE ESPIGA; MILHO VERDE</x:t>
        </x:is>
      </x:c>
      <x:c r="D14" s="5" t="inlineStr">
        <x:is>
          <x:t xml:space="preserve"/>
        </x:is>
      </x:c>
      <x:c r="E14" s="5" t="inlineStr">
        <x:is>
          <x:t xml:space="preserve"/>
        </x:is>
      </x:c>
      <x:c r="F14" s="5" t="inlineStr">
        <x:is>
          <x:t xml:space="preserve">BANDEJA</x:t>
        </x:is>
      </x:c>
      <x:c r="G14" s="6" t="inlineStr">
        <x:is>
          <x:t xml:space="preserve"/>
        </x:is>
      </x:c>
      <x:c r="H14" s="6" t="inlineStr">
        <x:is>
          <x:t xml:space="preserve"/>
        </x:is>
      </x:c>
      <x:c r="I14" s="6" t="inlineStr">
        <x:is>
          <x:t xml:space="preserve"/>
        </x:is>
      </x:c>
      <x:c r="J14" s="4" t="inlineStr">
        <x:is>
          <x:t xml:space="preserve">REVISAR</x:t>
        </x:is>
      </x:c>
      <x:c r="K14" s="4" t="inlineStr">
        <x:is>
          <x:t xml:space="preserve">Produto apareceu no log. Falta confirmar bandejas por caixa.</x:t>
        </x:is>
      </x:c>
      <x:c r="L14" s="4" t="str">
        <x:f>IF(OR(F14="",A14="",B14=""),"PENDENTE - cadastro incompleto",IF(F14="CAIXA","OK",IF(F14="PESO",IF(G14&gt;0,"OK","PENDENTE - preencher peso_caixa"),IF(OR(F14="UNIDADE",F14="UND"),IF(H14&gt;0,"OK","PENDENTE - preencher itens_por_caixa"),IF(OR(F14="BANDEJA",F14="BDJ"),IF(I14&gt;0,"OK","PENDENTE - preencher bandejas_por_caixa"),"PENDENTE - modo inválido")))))</x:f>
        <x:v>PENDENTE - preencher bandejas_por_caixa</x:v>
      </x:c>
    </x:row>
    <x:row r="15" ht="30" customHeight="1">
      <x:c r="A15" s="4" t="inlineStr">
        <x:is>
          <x:t xml:space="preserve">FRUTAS</x:t>
        </x:is>
      </x:c>
      <x:c r="B15" s="4" t="inlineStr">
        <x:is>
          <x:t xml:space="preserve">CAQUI RAMA FORTE</x:t>
        </x:is>
      </x:c>
      <x:c r="C15" s="4" t="inlineStr">
        <x:is>
          <x:t xml:space="preserve">CAQUI RAMA FORTE KG; CAQUI RAMA FORTE</x:t>
        </x:is>
      </x:c>
      <x:c r="D15" s="5" t="inlineStr">
        <x:is>
          <x:t xml:space="preserve"/>
        </x:is>
      </x:c>
      <x:c r="E15" s="5" t="inlineStr">
        <x:is>
          <x:t xml:space="preserve"/>
        </x:is>
      </x:c>
      <x:c r="F15" s="5" t="inlineStr">
        <x:is>
          <x:t xml:space="preserve">PESO</x:t>
        </x:is>
      </x:c>
      <x:c r="G15" s="6" t="inlineStr">
        <x:is>
          <x:t xml:space="preserve"/>
        </x:is>
      </x:c>
      <x:c r="H15" s="6" t="inlineStr">
        <x:is>
          <x:t xml:space="preserve"/>
        </x:is>
      </x:c>
      <x:c r="I15" s="6" t="inlineStr">
        <x:is>
          <x:t xml:space="preserve"/>
        </x:is>
      </x:c>
      <x:c r="J15" s="4" t="inlineStr">
        <x:is>
          <x:t xml:space="preserve">REVISAR</x:t>
        </x:is>
      </x:c>
      <x:c r="K15" s="4" t="inlineStr">
        <x:is>
          <x:t xml:space="preserve">Print do Brasão frutas.</x:t>
        </x:is>
      </x:c>
      <x:c r="L15" s="4" t="str">
        <x:f>IF(OR(F15="",A15="",B15=""),"PENDENTE - cadastro incompleto",IF(F15="CAIXA","OK",IF(F15="PESO",IF(G15&gt;0,"OK","PENDENTE - preencher peso_caixa"),IF(OR(F15="UNIDADE",F15="UND"),IF(H15&gt;0,"OK","PENDENTE - preencher itens_por_caixa"),IF(OR(F15="BANDEJA",F15="BDJ"),IF(I15&gt;0,"OK","PENDENTE - preencher bandejas_por_caixa"),"PENDENTE - modo inválido")))))</x:f>
        <x:v>PENDENTE - preencher peso_caixa</x:v>
      </x:c>
    </x:row>
    <x:row r="16" ht="30" customHeight="1">
      <x:c r="A16" s="4" t="inlineStr">
        <x:is>
          <x:t xml:space="preserve">FRUTAS</x:t>
        </x:is>
      </x:c>
      <x:c r="B16" s="4" t="inlineStr">
        <x:is>
          <x:t xml:space="preserve">FIGO ROXO</x:t>
        </x:is>
      </x:c>
      <x:c r="C16" s="4" t="inlineStr">
        <x:is>
          <x:t xml:space="preserve">FIGO ROXO</x:t>
        </x:is>
      </x:c>
      <x:c r="D16" s="5" t="inlineStr">
        <x:is>
          <x:t xml:space="preserve"/>
        </x:is>
      </x:c>
      <x:c r="E16" s="5" t="inlineStr">
        <x:is>
          <x:t xml:space="preserve"/>
        </x:is>
      </x:c>
      <x:c r="F16" s="5" t="inlineStr">
        <x:is>
          <x:t xml:space="preserve">CAIXA</x:t>
        </x:is>
      </x:c>
      <x:c r="G16" s="6" t="inlineStr">
        <x:is>
          <x:t xml:space="preserve"/>
        </x:is>
      </x:c>
      <x:c r="H16" s="6" t="inlineStr">
        <x:is>
          <x:t xml:space="preserve"/>
        </x:is>
      </x:c>
      <x:c r="I16" s="6" t="inlineStr">
        <x:is>
          <x:t xml:space="preserve"/>
        </x:is>
      </x:c>
      <x:c r="J16" s="4" t="inlineStr">
        <x:is>
          <x:t xml:space="preserve">REVISAR</x:t>
        </x:is>
      </x:c>
      <x:c r="K16" s="4" t="inlineStr">
        <x:is>
          <x:t xml:space="preserve">Sem unidade explícita no print. Confirmar se pedido já vem em caixas.</x:t>
        </x:is>
      </x:c>
      <x:c r="L16" s="4" t="str">
        <x:f>IF(OR(F16="",A16="",B16=""),"PENDENTE - cadastro incompleto",IF(F16="CAIXA","OK",IF(F16="PESO",IF(G16&gt;0,"OK","PENDENTE - preencher peso_caixa"),IF(OR(F16="UNIDADE",F16="UND"),IF(H16&gt;0,"OK","PENDENTE - preencher itens_por_caixa"),IF(OR(F16="BANDEJA",F16="BDJ"),IF(I16&gt;0,"OK","PENDENTE - preencher bandejas_por_caixa"),"PENDENTE - modo inválido")))))</x:f>
        <x:v>OK</x:v>
      </x:c>
    </x:row>
    <x:row r="17" ht="30" customHeight="1">
      <x:c r="A17" s="4" t="inlineStr">
        <x:is>
          <x:t xml:space="preserve">FRUTAS</x:t>
        </x:is>
      </x:c>
      <x:c r="B17" s="4" t="inlineStr">
        <x:is>
          <x:t xml:space="preserve">FRAMBOESA IMPORTADA</x:t>
        </x:is>
      </x:c>
      <x:c r="C17" s="4" t="inlineStr">
        <x:is>
          <x:t xml:space="preserve">FRAMBOESA IMPORTADA</x:t>
        </x:is>
      </x:c>
      <x:c r="D17" s="5" t="inlineStr">
        <x:is>
          <x:t xml:space="preserve"/>
        </x:is>
      </x:c>
      <x:c r="E17" s="5" t="inlineStr">
        <x:is>
          <x:t xml:space="preserve"/>
        </x:is>
      </x:c>
      <x:c r="F17" s="5" t="inlineStr">
        <x:is>
          <x:t xml:space="preserve">CAIXA</x:t>
        </x:is>
      </x:c>
      <x:c r="G17" s="6" t="inlineStr">
        <x:is>
          <x:t xml:space="preserve"/>
        </x:is>
      </x:c>
      <x:c r="H17" s="6" t="inlineStr">
        <x:is>
          <x:t xml:space="preserve"/>
        </x:is>
      </x:c>
      <x:c r="I17" s="6" t="inlineStr">
        <x:is>
          <x:t xml:space="preserve"/>
        </x:is>
      </x:c>
      <x:c r="J17" s="4" t="inlineStr">
        <x:is>
          <x:t xml:space="preserve">REVISAR</x:t>
        </x:is>
      </x:c>
      <x:c r="K17" s="4" t="inlineStr">
        <x:is>
          <x:t xml:space="preserve">Sem unidade explícita no print. Confirmar se pedido já vem em caixas.</x:t>
        </x:is>
      </x:c>
      <x:c r="L17" s="4" t="str">
        <x:f>IF(OR(F17="",A17="",B17=""),"PENDENTE - cadastro incompleto",IF(F17="CAIXA","OK",IF(F17="PESO",IF(G17&gt;0,"OK","PENDENTE - preencher peso_caixa"),IF(OR(F17="UNIDADE",F17="UND"),IF(H17&gt;0,"OK","PENDENTE - preencher itens_por_caixa"),IF(OR(F17="BANDEJA",F17="BDJ"),IF(I17&gt;0,"OK","PENDENTE - preencher bandejas_por_caixa"),"PENDENTE - modo inválido")))))</x:f>
        <x:v>OK</x:v>
      </x:c>
    </x:row>
    <x:row r="18" ht="30" customHeight="1">
      <x:c r="A18" s="4" t="inlineStr">
        <x:is>
          <x:t xml:space="preserve">FRUTAS</x:t>
        </x:is>
      </x:c>
      <x:c r="B18" s="4" t="inlineStr">
        <x:is>
          <x:t xml:space="preserve">GOIABA VERMELHA</x:t>
        </x:is>
      </x:c>
      <x:c r="C18" s="4" t="inlineStr">
        <x:is>
          <x:t xml:space="preserve">GOIABA VERMELHA KG; GOIABA VERMELHA</x:t>
        </x:is>
      </x:c>
      <x:c r="D18" s="5" t="inlineStr">
        <x:is>
          <x:t xml:space="preserve"/>
        </x:is>
      </x:c>
      <x:c r="E18" s="5" t="inlineStr">
        <x:is>
          <x:t xml:space="preserve"/>
        </x:is>
      </x:c>
      <x:c r="F18" s="5" t="inlineStr">
        <x:is>
          <x:t xml:space="preserve">PESO</x:t>
        </x:is>
      </x:c>
      <x:c r="G18" s="6" t="inlineStr">
        <x:is>
          <x:t xml:space="preserve"/>
        </x:is>
      </x:c>
      <x:c r="H18" s="6" t="inlineStr">
        <x:is>
          <x:t xml:space="preserve"/>
        </x:is>
      </x:c>
      <x:c r="I18" s="6" t="inlineStr">
        <x:is>
          <x:t xml:space="preserve"/>
        </x:is>
      </x:c>
      <x:c r="J18" s="4" t="inlineStr">
        <x:is>
          <x:t xml:space="preserve">REVISAR</x:t>
        </x:is>
      </x:c>
      <x:c r="K18" s="4" t="inlineStr">
        <x:is>
          <x:t xml:space="preserve">Print do Brasão frutas.</x:t>
        </x:is>
      </x:c>
      <x:c r="L18" s="4" t="str">
        <x:f>IF(OR(F18="",A18="",B18=""),"PENDENTE - cadastro incompleto",IF(F18="CAIXA","OK",IF(F18="PESO",IF(G18&gt;0,"OK","PENDENTE - preencher peso_caixa"),IF(OR(F18="UNIDADE",F18="UND"),IF(H18&gt;0,"OK","PENDENTE - preencher itens_por_caixa"),IF(OR(F18="BANDEJA",F18="BDJ"),IF(I18&gt;0,"OK","PENDENTE - preencher bandejas_por_caixa"),"PENDENTE - modo inválido")))))</x:f>
        <x:v>PENDENTE - preencher peso_caixa</x:v>
      </x:c>
    </x:row>
    <x:row r="19" ht="30" customHeight="1">
      <x:c r="A19" s="4" t="inlineStr">
        <x:is>
          <x:t xml:space="preserve">FRUTAS</x:t>
        </x:is>
      </x:c>
      <x:c r="B19" s="4" t="inlineStr">
        <x:is>
          <x:t xml:space="preserve">JABOTICABA</x:t>
        </x:is>
      </x:c>
      <x:c r="C19" s="4" t="inlineStr">
        <x:is>
          <x:t xml:space="preserve">JABOTICABA KG; JABOTICABA</x:t>
        </x:is>
      </x:c>
      <x:c r="D19" s="5" t="inlineStr">
        <x:is>
          <x:t xml:space="preserve"/>
        </x:is>
      </x:c>
      <x:c r="E19" s="5" t="inlineStr">
        <x:is>
          <x:t xml:space="preserve"/>
        </x:is>
      </x:c>
      <x:c r="F19" s="5" t="inlineStr">
        <x:is>
          <x:t xml:space="preserve">PESO</x:t>
        </x:is>
      </x:c>
      <x:c r="G19" s="6" t="inlineStr">
        <x:is>
          <x:t xml:space="preserve"/>
        </x:is>
      </x:c>
      <x:c r="H19" s="6" t="inlineStr">
        <x:is>
          <x:t xml:space="preserve"/>
        </x:is>
      </x:c>
      <x:c r="I19" s="6" t="inlineStr">
        <x:is>
          <x:t xml:space="preserve"/>
        </x:is>
      </x:c>
      <x:c r="J19" s="4" t="inlineStr">
        <x:is>
          <x:t xml:space="preserve">REVISAR</x:t>
        </x:is>
      </x:c>
      <x:c r="K19" s="4" t="inlineStr">
        <x:is>
          <x:t xml:space="preserve">Print do Brasão frutas.</x:t>
        </x:is>
      </x:c>
      <x:c r="L19" s="4" t="str">
        <x:f>IF(OR(F19="",A19="",B19=""),"PENDENTE - cadastro incompleto",IF(F19="CAIXA","OK",IF(F19="PESO",IF(G19&gt;0,"OK","PENDENTE - preencher peso_caixa"),IF(OR(F19="UNIDADE",F19="UND"),IF(H19&gt;0,"OK","PENDENTE - preencher itens_por_caixa"),IF(OR(F19="BANDEJA",F19="BDJ"),IF(I19&gt;0,"OK","PENDENTE - preencher bandejas_por_caixa"),"PENDENTE - modo inválido")))))</x:f>
        <x:v>PENDENTE - preencher peso_caixa</x:v>
      </x:c>
    </x:row>
    <x:row r="20" ht="30" customHeight="1">
      <x:c r="A20" s="4" t="inlineStr">
        <x:is>
          <x:t xml:space="preserve">FRUTAS</x:t>
        </x:is>
      </x:c>
      <x:c r="B20" s="4" t="inlineStr">
        <x:is>
          <x:t xml:space="preserve">KINKAN BANDEJA</x:t>
        </x:is>
      </x:c>
      <x:c r="C20" s="4" t="inlineStr">
        <x:is>
          <x:t xml:space="preserve">KINKAN BANDEJA FRUTAMINA FRUTAMINA; KINKAN BANDEJA; KINKAN BDJ</x:t>
        </x:is>
      </x:c>
      <x:c r="D20" s="5" t="inlineStr">
        <x:is>
          <x:t xml:space="preserve"/>
        </x:is>
      </x:c>
      <x:c r="E20" s="5" t="inlineStr">
        <x:is>
          <x:t xml:space="preserve"/>
        </x:is>
      </x:c>
      <x:c r="F20" s="5" t="inlineStr">
        <x:is>
          <x:t xml:space="preserve">BANDEJA</x:t>
        </x:is>
      </x:c>
      <x:c r="G20" s="6" t="inlineStr">
        <x:is>
          <x:t xml:space="preserve"/>
        </x:is>
      </x:c>
      <x:c r="H20" s="6" t="inlineStr">
        <x:is>
          <x:t xml:space="preserve"/>
        </x:is>
      </x:c>
      <x:c r="I20" s="6" t="inlineStr">
        <x:is>
          <x:t xml:space="preserve"/>
        </x:is>
      </x:c>
      <x:c r="J20" s="4" t="inlineStr">
        <x:is>
          <x:t xml:space="preserve">REVISAR</x:t>
        </x:is>
      </x:c>
      <x:c r="K20" s="4" t="inlineStr">
        <x:is>
          <x:t xml:space="preserve">Print do Brasão frutas.</x:t>
        </x:is>
      </x:c>
      <x:c r="L20" s="4" t="str">
        <x:f>IF(OR(F20="",A20="",B20=""),"PENDENTE - cadastro incompleto",IF(F20="CAIXA","OK",IF(F20="PESO",IF(G20&gt;0,"OK","PENDENTE - preencher peso_caixa"),IF(OR(F20="UNIDADE",F20="UND"),IF(H20&gt;0,"OK","PENDENTE - preencher itens_por_caixa"),IF(OR(F20="BANDEJA",F20="BDJ"),IF(I20&gt;0,"OK","PENDENTE - preencher bandejas_por_caixa"),"PENDENTE - modo inválido")))))</x:f>
        <x:v>PENDENTE - preencher bandejas_por_caixa</x:v>
      </x:c>
    </x:row>
    <x:row r="21" ht="30" customHeight="1">
      <x:c r="A21" s="4" t="inlineStr">
        <x:is>
          <x:t xml:space="preserve">FRUTAS</x:t>
        </x:is>
      </x:c>
      <x:c r="B21" s="4" t="inlineStr">
        <x:is>
          <x:t xml:space="preserve">KIWI DE BANDEJA</x:t>
        </x:is>
      </x:c>
      <x:c r="C21" s="4" t="inlineStr">
        <x:is>
          <x:t xml:space="preserve">KIWI DE BANDEJA DE; KIWI DE BANDEJA; KIWI BDJ</x:t>
        </x:is>
      </x:c>
      <x:c r="D21" s="5" t="inlineStr">
        <x:is>
          <x:t xml:space="preserve"/>
        </x:is>
      </x:c>
      <x:c r="E21" s="5" t="inlineStr">
        <x:is>
          <x:t xml:space="preserve"/>
        </x:is>
      </x:c>
      <x:c r="F21" s="5" t="inlineStr">
        <x:is>
          <x:t xml:space="preserve">BANDEJA</x:t>
        </x:is>
      </x:c>
      <x:c r="G21" s="6" t="inlineStr">
        <x:is>
          <x:t xml:space="preserve"/>
        </x:is>
      </x:c>
      <x:c r="H21" s="6" t="inlineStr">
        <x:is>
          <x:t xml:space="preserve"/>
        </x:is>
      </x:c>
      <x:c r="I21" s="6" t="inlineStr">
        <x:is>
          <x:t xml:space="preserve"/>
        </x:is>
      </x:c>
      <x:c r="J21" s="4" t="inlineStr">
        <x:is>
          <x:t xml:space="preserve">REVISAR</x:t>
        </x:is>
      </x:c>
      <x:c r="K21" s="4" t="inlineStr">
        <x:is>
          <x:t xml:space="preserve">Print do Brasão frutas.</x:t>
        </x:is>
      </x:c>
      <x:c r="L21" s="4" t="str">
        <x:f>IF(OR(F21="",A21="",B21=""),"PENDENTE - cadastro incompleto",IF(F21="CAIXA","OK",IF(F21="PESO",IF(G21&gt;0,"OK","PENDENTE - preencher peso_caixa"),IF(OR(F21="UNIDADE",F21="UND"),IF(H21&gt;0,"OK","PENDENTE - preencher itens_por_caixa"),IF(OR(F21="BANDEJA",F21="BDJ"),IF(I21&gt;0,"OK","PENDENTE - preencher bandejas_por_caixa"),"PENDENTE - modo inválido")))))</x:f>
        <x:v>PENDENTE - preencher bandejas_por_caixa</x:v>
      </x:c>
    </x:row>
    <x:row r="22" ht="30" customHeight="1">
      <x:c r="A22" s="4" t="inlineStr">
        <x:is>
          <x:t xml:space="preserve">FRUTAS</x:t>
        </x:is>
      </x:c>
      <x:c r="B22" s="4" t="inlineStr">
        <x:is>
          <x:t xml:space="preserve">KIWI GRECIA</x:t>
        </x:is>
      </x:c>
      <x:c r="C22" s="4" t="inlineStr">
        <x:is>
          <x:t xml:space="preserve">KIWI GRECIA KG; KIWI GRECIA</x:t>
        </x:is>
      </x:c>
      <x:c r="D22" s="5" t="inlineStr">
        <x:is>
          <x:t xml:space="preserve"/>
        </x:is>
      </x:c>
      <x:c r="E22" s="5" t="inlineStr">
        <x:is>
          <x:t xml:space="preserve"/>
        </x:is>
      </x:c>
      <x:c r="F22" s="5" t="inlineStr">
        <x:is>
          <x:t xml:space="preserve">PESO</x:t>
        </x:is>
      </x:c>
      <x:c r="G22" s="6" t="inlineStr">
        <x:is>
          <x:t xml:space="preserve"/>
        </x:is>
      </x:c>
      <x:c r="H22" s="6" t="inlineStr">
        <x:is>
          <x:t xml:space="preserve"/>
        </x:is>
      </x:c>
      <x:c r="I22" s="6" t="inlineStr">
        <x:is>
          <x:t xml:space="preserve"/>
        </x:is>
      </x:c>
      <x:c r="J22" s="4" t="inlineStr">
        <x:is>
          <x:t xml:space="preserve">REVISAR</x:t>
        </x:is>
      </x:c>
      <x:c r="K22" s="4" t="inlineStr">
        <x:is>
          <x:t xml:space="preserve">Print do Brasão frutas.</x:t>
        </x:is>
      </x:c>
      <x:c r="L22" s="4" t="str">
        <x:f>IF(OR(F22="",A22="",B22=""),"PENDENTE - cadastro incompleto",IF(F22="CAIXA","OK",IF(F22="PESO",IF(G22&gt;0,"OK","PENDENTE - preencher peso_caixa"),IF(OR(F22="UNIDADE",F22="UND"),IF(H22&gt;0,"OK","PENDENTE - preencher itens_por_caixa"),IF(OR(F22="BANDEJA",F22="BDJ"),IF(I22&gt;0,"OK","PENDENTE - preencher bandejas_por_caixa"),"PENDENTE - modo inválido")))))</x:f>
        <x:v>PENDENTE - preencher peso_caixa</x:v>
      </x:c>
    </x:row>
    <x:row r="23" ht="30" customHeight="1">
      <x:c r="A23" s="4" t="inlineStr">
        <x:is>
          <x:t xml:space="preserve">FRUTAS</x:t>
        </x:is>
      </x:c>
      <x:c r="B23" s="4" t="inlineStr">
        <x:is>
          <x:t xml:space="preserve">MAMAO FORMOSA</x:t>
        </x:is>
      </x:c>
      <x:c r="C23" s="4" t="inlineStr">
        <x:is>
          <x:t xml:space="preserve">MAMAO FORMOSA KG; MAMAO FORMOSA</x:t>
        </x:is>
      </x:c>
      <x:c r="D23" s="5" t="inlineStr">
        <x:is>
          <x:t xml:space="preserve"/>
        </x:is>
      </x:c>
      <x:c r="E23" s="5" t="inlineStr">
        <x:is>
          <x:t xml:space="preserve"/>
        </x:is>
      </x:c>
      <x:c r="F23" s="5" t="inlineStr">
        <x:is>
          <x:t xml:space="preserve">PESO</x:t>
        </x:is>
      </x:c>
      <x:c r="G23" s="6" t="inlineStr">
        <x:is>
          <x:t xml:space="preserve"/>
        </x:is>
      </x:c>
      <x:c r="H23" s="6" t="inlineStr">
        <x:is>
          <x:t xml:space="preserve"/>
        </x:is>
      </x:c>
      <x:c r="I23" s="6" t="inlineStr">
        <x:is>
          <x:t xml:space="preserve"/>
        </x:is>
      </x:c>
      <x:c r="J23" s="4" t="inlineStr">
        <x:is>
          <x:t xml:space="preserve">REVISAR</x:t>
        </x:is>
      </x:c>
      <x:c r="K23" s="4" t="inlineStr">
        <x:is>
          <x:t xml:space="preserve">Print do Brasão frutas.</x:t>
        </x:is>
      </x:c>
      <x:c r="L23" s="4" t="str">
        <x:f>IF(OR(F23="",A23="",B23=""),"PENDENTE - cadastro incompleto",IF(F23="CAIXA","OK",IF(F23="PESO",IF(G23&gt;0,"OK","PENDENTE - preencher peso_caixa"),IF(OR(F23="UNIDADE",F23="UND"),IF(H23&gt;0,"OK","PENDENTE - preencher itens_por_caixa"),IF(OR(F23="BANDEJA",F23="BDJ"),IF(I23&gt;0,"OK","PENDENTE - preencher bandejas_por_caixa"),"PENDENTE - modo inválido")))))</x:f>
        <x:v>PENDENTE - preencher peso_caixa</x:v>
      </x:c>
    </x:row>
    <x:row r="24" ht="30" customHeight="1">
      <x:c r="A24" s="4" t="inlineStr">
        <x:is>
          <x:t xml:space="preserve">FRUTAS</x:t>
        </x:is>
      </x:c>
      <x:c r="B24" s="4" t="inlineStr">
        <x:is>
          <x:t xml:space="preserve">MAMAO PAPAIA</x:t>
        </x:is>
      </x:c>
      <x:c r="C24" s="4" t="inlineStr">
        <x:is>
          <x:t xml:space="preserve">MAMAOZINHO PAPAIA UNIDADE; MAMAO PAPAIA UNIDADE; MAMAO PAPAIA</x:t>
        </x:is>
      </x:c>
      <x:c r="D24" s="5" t="inlineStr">
        <x:is>
          <x:t xml:space="preserve"/>
        </x:is>
      </x:c>
      <x:c r="E24" s="5" t="inlineStr">
        <x:is>
          <x:t xml:space="preserve"/>
        </x:is>
      </x:c>
      <x:c r="F24" s="5" t="inlineStr">
        <x:is>
          <x:t xml:space="preserve">UNIDADE</x:t>
        </x:is>
      </x:c>
      <x:c r="G24" s="6" t="inlineStr">
        <x:is>
          <x:t xml:space="preserve"/>
        </x:is>
      </x:c>
      <x:c r="H24" s="6" t="inlineStr">
        <x:is>
          <x:t xml:space="preserve"/>
        </x:is>
      </x:c>
      <x:c r="I24" s="6" t="inlineStr">
        <x:is>
          <x:t xml:space="preserve"/>
        </x:is>
      </x:c>
      <x:c r="J24" s="4" t="inlineStr">
        <x:is>
          <x:t xml:space="preserve">REVISAR</x:t>
        </x:is>
      </x:c>
      <x:c r="K24" s="4" t="inlineStr">
        <x:is>
          <x:t xml:space="preserve">Print do Brasão frutas. Falta confirmar unidades por caixa.</x:t>
        </x:is>
      </x:c>
      <x:c r="L24" s="4" t="str">
        <x:f>IF(OR(F24="",A24="",B24=""),"PENDENTE - cadastro incompleto",IF(F24="CAIXA","OK",IF(F24="PESO",IF(G24&gt;0,"OK","PENDENTE - preencher peso_caixa"),IF(OR(F24="UNIDADE",F24="UND"),IF(H24&gt;0,"OK","PENDENTE - preencher itens_por_caixa"),IF(OR(F24="BANDEJA",F24="BDJ"),IF(I24&gt;0,"OK","PENDENTE - preencher bandejas_por_caixa"),"PENDENTE - modo inválido")))))</x:f>
        <x:v>PENDENTE - preencher itens_por_caixa</x:v>
      </x:c>
    </x:row>
    <x:row r="25" ht="30" customHeight="1">
      <x:c r="A25" s="4" t="inlineStr">
        <x:is>
          <x:t xml:space="preserve">FRUTAS</x:t>
        </x:is>
      </x:c>
      <x:c r="B25" s="4" t="inlineStr">
        <x:is>
          <x:t xml:space="preserve">MANGA PALMER</x:t>
        </x:is>
      </x:c>
      <x:c r="C25" s="4" t="inlineStr">
        <x:is>
          <x:t xml:space="preserve">MANGA PALMER KG; MANGA PALMER</x:t>
        </x:is>
      </x:c>
      <x:c r="D25" s="5" t="inlineStr">
        <x:is>
          <x:t xml:space="preserve"/>
        </x:is>
      </x:c>
      <x:c r="E25" s="5" t="inlineStr">
        <x:is>
          <x:t xml:space="preserve"/>
        </x:is>
      </x:c>
      <x:c r="F25" s="5" t="inlineStr">
        <x:is>
          <x:t xml:space="preserve">PESO</x:t>
        </x:is>
      </x:c>
      <x:c r="G25" s="6" t="inlineStr">
        <x:is>
          <x:t xml:space="preserve"/>
        </x:is>
      </x:c>
      <x:c r="H25" s="6" t="inlineStr">
        <x:is>
          <x:t xml:space="preserve"/>
        </x:is>
      </x:c>
      <x:c r="I25" s="6" t="inlineStr">
        <x:is>
          <x:t xml:space="preserve"/>
        </x:is>
      </x:c>
      <x:c r="J25" s="4" t="inlineStr">
        <x:is>
          <x:t xml:space="preserve">REVISAR</x:t>
        </x:is>
      </x:c>
      <x:c r="K25" s="4" t="inlineStr">
        <x:is>
          <x:t xml:space="preserve">Print do Brasão frutas.</x:t>
        </x:is>
      </x:c>
      <x:c r="L25" s="4" t="str">
        <x:f>IF(OR(F25="",A25="",B25=""),"PENDENTE - cadastro incompleto",IF(F25="CAIXA","OK",IF(F25="PESO",IF(G25&gt;0,"OK","PENDENTE - preencher peso_caixa"),IF(OR(F25="UNIDADE",F25="UND"),IF(H25&gt;0,"OK","PENDENTE - preencher itens_por_caixa"),IF(OR(F25="BANDEJA",F25="BDJ"),IF(I25&gt;0,"OK","PENDENTE - preencher bandejas_por_caixa"),"PENDENTE - modo inválido")))))</x:f>
        <x:v>PENDENTE - preencher peso_caixa</x:v>
      </x:c>
    </x:row>
    <x:row r="26" ht="30" customHeight="1">
      <x:c r="A26" s="4" t="inlineStr">
        <x:is>
          <x:t xml:space="preserve">FRUTAS</x:t>
        </x:is>
      </x:c>
      <x:c r="B26" s="4" t="inlineStr">
        <x:is>
          <x:t xml:space="preserve">MELAO CANTALOUPE</x:t>
        </x:is>
      </x:c>
      <x:c r="C26" s="4" t="inlineStr">
        <x:is>
          <x:t xml:space="preserve">MELAO CANTALOUPE UNIDADE; MELAO CANTALOUPE</x:t>
        </x:is>
      </x:c>
      <x:c r="D26" s="5" t="inlineStr">
        <x:is>
          <x:t xml:space="preserve"/>
        </x:is>
      </x:c>
      <x:c r="E26" s="5" t="inlineStr">
        <x:is>
          <x:t xml:space="preserve"/>
        </x:is>
      </x:c>
      <x:c r="F26" s="5" t="inlineStr">
        <x:is>
          <x:t xml:space="preserve">UNIDADE</x:t>
        </x:is>
      </x:c>
      <x:c r="G26" s="6" t="inlineStr">
        <x:is>
          <x:t xml:space="preserve"/>
        </x:is>
      </x:c>
      <x:c r="H26" s="6" t="inlineStr">
        <x:is>
          <x:t xml:space="preserve"/>
        </x:is>
      </x:c>
      <x:c r="I26" s="6" t="inlineStr">
        <x:is>
          <x:t xml:space="preserve"/>
        </x:is>
      </x:c>
      <x:c r="J26" s="4" t="inlineStr">
        <x:is>
          <x:t xml:space="preserve">REVISAR</x:t>
        </x:is>
      </x:c>
      <x:c r="K26" s="4" t="inlineStr">
        <x:is>
          <x:t xml:space="preserve">Print do Brasão frutas. Falta confirmar unidades por caixa.</x:t>
        </x:is>
      </x:c>
      <x:c r="L26" s="4" t="str">
        <x:f>IF(OR(F26="",A26="",B26=""),"PENDENTE - cadastro incompleto",IF(F26="CAIXA","OK",IF(F26="PESO",IF(G26&gt;0,"OK","PENDENTE - preencher peso_caixa"),IF(OR(F26="UNIDADE",F26="UND"),IF(H26&gt;0,"OK","PENDENTE - preencher itens_por_caixa"),IF(OR(F26="BANDEJA",F26="BDJ"),IF(I26&gt;0,"OK","PENDENTE - preencher bandejas_por_caixa"),"PENDENTE - modo inválido")))))</x:f>
        <x:v>PENDENTE - preencher itens_por_caixa</x:v>
      </x:c>
    </x:row>
    <x:row r="27" ht="30" customHeight="1">
      <x:c r="A27" s="4" t="inlineStr">
        <x:is>
          <x:t xml:space="preserve">FRUTAS</x:t>
        </x:is>
      </x:c>
      <x:c r="B27" s="4" t="inlineStr">
        <x:is>
          <x:t xml:space="preserve">MELAO CHARANTAIS</x:t>
        </x:is>
      </x:c>
      <x:c r="C27" s="4" t="inlineStr">
        <x:is>
          <x:t xml:space="preserve">MELAO CHARANTAIS KG; MELAO CHARANTAIS</x:t>
        </x:is>
      </x:c>
      <x:c r="D27" s="5" t="inlineStr">
        <x:is>
          <x:t xml:space="preserve"/>
        </x:is>
      </x:c>
      <x:c r="E27" s="5" t="inlineStr">
        <x:is>
          <x:t xml:space="preserve"/>
        </x:is>
      </x:c>
      <x:c r="F27" s="5" t="inlineStr">
        <x:is>
          <x:t xml:space="preserve">PESO</x:t>
        </x:is>
      </x:c>
      <x:c r="G27" s="6" t="inlineStr">
        <x:is>
          <x:t xml:space="preserve"/>
        </x:is>
      </x:c>
      <x:c r="H27" s="6" t="inlineStr">
        <x:is>
          <x:t xml:space="preserve"/>
        </x:is>
      </x:c>
      <x:c r="I27" s="6" t="inlineStr">
        <x:is>
          <x:t xml:space="preserve"/>
        </x:is>
      </x:c>
      <x:c r="J27" s="4" t="inlineStr">
        <x:is>
          <x:t xml:space="preserve">REVISAR</x:t>
        </x:is>
      </x:c>
      <x:c r="K27" s="4" t="inlineStr">
        <x:is>
          <x:t xml:space="preserve">Print do Brasão frutas.</x:t>
        </x:is>
      </x:c>
      <x:c r="L27" s="4" t="str">
        <x:f>IF(OR(F27="",A27="",B27=""),"PENDENTE - cadastro incompleto",IF(F27="CAIXA","OK",IF(F27="PESO",IF(G27&gt;0,"OK","PENDENTE - preencher peso_caixa"),IF(OR(F27="UNIDADE",F27="UND"),IF(H27&gt;0,"OK","PENDENTE - preencher itens_por_caixa"),IF(OR(F27="BANDEJA",F27="BDJ"),IF(I27&gt;0,"OK","PENDENTE - preencher bandejas_por_caixa"),"PENDENTE - modo inválido")))))</x:f>
        <x:v>PENDENTE - preencher peso_caixa</x:v>
      </x:c>
    </x:row>
    <x:row r="28" ht="30" customHeight="1">
      <x:c r="A28" s="4" t="inlineStr">
        <x:is>
          <x:t xml:space="preserve">FRUTAS</x:t>
        </x:is>
      </x:c>
      <x:c r="B28" s="4" t="inlineStr">
        <x:is>
          <x:t xml:space="preserve">MELAO DINO</x:t>
        </x:is>
      </x:c>
      <x:c r="C28" s="4" t="inlineStr">
        <x:is>
          <x:t xml:space="preserve">MELAO DINO KG; MELAO DINO</x:t>
        </x:is>
      </x:c>
      <x:c r="D28" s="5" t="inlineStr">
        <x:is>
          <x:t xml:space="preserve"/>
        </x:is>
      </x:c>
      <x:c r="E28" s="5" t="inlineStr">
        <x:is>
          <x:t xml:space="preserve"/>
        </x:is>
      </x:c>
      <x:c r="F28" s="5" t="inlineStr">
        <x:is>
          <x:t xml:space="preserve">PESO</x:t>
        </x:is>
      </x:c>
      <x:c r="G28" s="6" t="inlineStr">
        <x:is>
          <x:t xml:space="preserve"/>
        </x:is>
      </x:c>
      <x:c r="H28" s="6" t="inlineStr">
        <x:is>
          <x:t xml:space="preserve"/>
        </x:is>
      </x:c>
      <x:c r="I28" s="6" t="inlineStr">
        <x:is>
          <x:t xml:space="preserve"/>
        </x:is>
      </x:c>
      <x:c r="J28" s="4" t="inlineStr">
        <x:is>
          <x:t xml:space="preserve">REVISAR</x:t>
        </x:is>
      </x:c>
      <x:c r="K28" s="4" t="inlineStr">
        <x:is>
          <x:t xml:space="preserve">Print do Brasão frutas.</x:t>
        </x:is>
      </x:c>
      <x:c r="L28" s="4" t="str">
        <x:f>IF(OR(F28="",A28="",B28=""),"PENDENTE - cadastro incompleto",IF(F28="CAIXA","OK",IF(F28="PESO",IF(G28&gt;0,"OK","PENDENTE - preencher peso_caixa"),IF(OR(F28="UNIDADE",F28="UND"),IF(H28&gt;0,"OK","PENDENTE - preencher itens_por_caixa"),IF(OR(F28="BANDEJA",F28="BDJ"),IF(I28&gt;0,"OK","PENDENTE - preencher bandejas_por_caixa"),"PENDENTE - modo inválido")))))</x:f>
        <x:v>PENDENTE - preencher peso_caixa</x:v>
      </x:c>
    </x:row>
    <x:row r="29" ht="30" customHeight="1">
      <x:c r="A29" s="4" t="inlineStr">
        <x:is>
          <x:t xml:space="preserve">FRUTAS</x:t>
        </x:is>
      </x:c>
      <x:c r="B29" s="4" t="inlineStr">
        <x:is>
          <x:t xml:space="preserve">MELAO ESPANHOL AMARELO</x:t>
        </x:is>
      </x:c>
      <x:c r="C29" s="4" t="inlineStr">
        <x:is>
          <x:t xml:space="preserve">MELAO ESPANHOL AMARELO KG; MELAO ESPANHOL AMARELO</x:t>
        </x:is>
      </x:c>
      <x:c r="D29" s="5" t="inlineStr">
        <x:is>
          <x:t xml:space="preserve"/>
        </x:is>
      </x:c>
      <x:c r="E29" s="5" t="inlineStr">
        <x:is>
          <x:t xml:space="preserve"/>
        </x:is>
      </x:c>
      <x:c r="F29" s="5" t="inlineStr">
        <x:is>
          <x:t xml:space="preserve">PESO</x:t>
        </x:is>
      </x:c>
      <x:c r="G29" s="6" t="inlineStr">
        <x:is>
          <x:t xml:space="preserve"/>
        </x:is>
      </x:c>
      <x:c r="H29" s="6" t="inlineStr">
        <x:is>
          <x:t xml:space="preserve"/>
        </x:is>
      </x:c>
      <x:c r="I29" s="6" t="inlineStr">
        <x:is>
          <x:t xml:space="preserve"/>
        </x:is>
      </x:c>
      <x:c r="J29" s="4" t="inlineStr">
        <x:is>
          <x:t xml:space="preserve">REVISAR</x:t>
        </x:is>
      </x:c>
      <x:c r="K29" s="4" t="inlineStr">
        <x:is>
          <x:t xml:space="preserve">Print do Brasão frutas.</x:t>
        </x:is>
      </x:c>
      <x:c r="L29" s="4" t="str">
        <x:f>IF(OR(F29="",A29="",B29=""),"PENDENTE - cadastro incompleto",IF(F29="CAIXA","OK",IF(F29="PESO",IF(G29&gt;0,"OK","PENDENTE - preencher peso_caixa"),IF(OR(F29="UNIDADE",F29="UND"),IF(H29&gt;0,"OK","PENDENTE - preencher itens_por_caixa"),IF(OR(F29="BANDEJA",F29="BDJ"),IF(I29&gt;0,"OK","PENDENTE - preencher bandejas_por_caixa"),"PENDENTE - modo inválido")))))</x:f>
        <x:v>PENDENTE - preencher peso_caixa</x:v>
      </x:c>
    </x:row>
    <x:row r="30" ht="30" customHeight="1">
      <x:c r="A30" s="4" t="inlineStr">
        <x:is>
          <x:t xml:space="preserve">FRUTAS</x:t>
        </x:is>
      </x:c>
      <x:c r="B30" s="4" t="inlineStr">
        <x:is>
          <x:t xml:space="preserve">MELAO GALIA</x:t>
        </x:is>
      </x:c>
      <x:c r="C30" s="4" t="inlineStr">
        <x:is>
          <x:t xml:space="preserve">MELAO GALIA UNIDADE; MELAO GALIA</x:t>
        </x:is>
      </x:c>
      <x:c r="D30" s="5" t="inlineStr">
        <x:is>
          <x:t xml:space="preserve"/>
        </x:is>
      </x:c>
      <x:c r="E30" s="5" t="inlineStr">
        <x:is>
          <x:t xml:space="preserve"/>
        </x:is>
      </x:c>
      <x:c r="F30" s="5" t="inlineStr">
        <x:is>
          <x:t xml:space="preserve">UNIDADE</x:t>
        </x:is>
      </x:c>
      <x:c r="G30" s="6" t="inlineStr">
        <x:is>
          <x:t xml:space="preserve"/>
        </x:is>
      </x:c>
      <x:c r="H30" s="6" t="inlineStr">
        <x:is>
          <x:t xml:space="preserve"/>
        </x:is>
      </x:c>
      <x:c r="I30" s="6" t="inlineStr">
        <x:is>
          <x:t xml:space="preserve"/>
        </x:is>
      </x:c>
      <x:c r="J30" s="4" t="inlineStr">
        <x:is>
          <x:t xml:space="preserve">REVISAR</x:t>
        </x:is>
      </x:c>
      <x:c r="K30" s="4" t="inlineStr">
        <x:is>
          <x:t xml:space="preserve">Print do Brasão frutas. Falta confirmar unidades por caixa.</x:t>
        </x:is>
      </x:c>
      <x:c r="L30" s="4" t="str">
        <x:f>IF(OR(F30="",A30="",B30=""),"PENDENTE - cadastro incompleto",IF(F30="CAIXA","OK",IF(F30="PESO",IF(G30&gt;0,"OK","PENDENTE - preencher peso_caixa"),IF(OR(F30="UNIDADE",F30="UND"),IF(H30&gt;0,"OK","PENDENTE - preencher itens_por_caixa"),IF(OR(F30="BANDEJA",F30="BDJ"),IF(I30&gt;0,"OK","PENDENTE - preencher bandejas_por_caixa"),"PENDENTE - modo inválido")))))</x:f>
        <x:v>PENDENTE - preencher itens_por_caixa</x:v>
      </x:c>
    </x:row>
    <x:row r="31" ht="30" customHeight="1">
      <x:c r="A31" s="4" t="inlineStr">
        <x:is>
          <x:t xml:space="preserve">FRUTAS</x:t>
        </x:is>
      </x:c>
      <x:c r="B31" s="4" t="inlineStr">
        <x:is>
          <x:t xml:space="preserve">MELAO ORANGE</x:t>
        </x:is>
      </x:c>
      <x:c r="C31" s="4" t="inlineStr">
        <x:is>
          <x:t xml:space="preserve">MELAO ORANGE UNIDADE; MELAO ORANGE</x:t>
        </x:is>
      </x:c>
      <x:c r="D31" s="5" t="inlineStr">
        <x:is>
          <x:t xml:space="preserve"/>
        </x:is>
      </x:c>
      <x:c r="E31" s="5" t="inlineStr">
        <x:is>
          <x:t xml:space="preserve"/>
        </x:is>
      </x:c>
      <x:c r="F31" s="5" t="inlineStr">
        <x:is>
          <x:t xml:space="preserve">UNIDADE</x:t>
        </x:is>
      </x:c>
      <x:c r="G31" s="6" t="inlineStr">
        <x:is>
          <x:t xml:space="preserve"/>
        </x:is>
      </x:c>
      <x:c r="H31" s="6" t="inlineStr">
        <x:is>
          <x:t xml:space="preserve"/>
        </x:is>
      </x:c>
      <x:c r="I31" s="6" t="inlineStr">
        <x:is>
          <x:t xml:space="preserve"/>
        </x:is>
      </x:c>
      <x:c r="J31" s="4" t="inlineStr">
        <x:is>
          <x:t xml:space="preserve">REVISAR</x:t>
        </x:is>
      </x:c>
      <x:c r="K31" s="4" t="inlineStr">
        <x:is>
          <x:t xml:space="preserve">Print do Brasão frutas. Falta confirmar unidades por caixa.</x:t>
        </x:is>
      </x:c>
      <x:c r="L31" s="4" t="str">
        <x:f>IF(OR(F31="",A31="",B31=""),"PENDENTE - cadastro incompleto",IF(F31="CAIXA","OK",IF(F31="PESO",IF(G31&gt;0,"OK","PENDENTE - preencher peso_caixa"),IF(OR(F31="UNIDADE",F31="UND"),IF(H31&gt;0,"OK","PENDENTE - preencher itens_por_caixa"),IF(OR(F31="BANDEJA",F31="BDJ"),IF(I31&gt;0,"OK","PENDENTE - preencher bandejas_por_caixa"),"PENDENTE - modo inválido")))))</x:f>
        <x:v>PENDENTE - preencher itens_por_caixa</x:v>
      </x:c>
    </x:row>
    <x:row r="32" ht="30" customHeight="1">
      <x:c r="A32" s="4" t="inlineStr">
        <x:is>
          <x:t xml:space="preserve">FRUTAS</x:t>
        </x:is>
      </x:c>
      <x:c r="B32" s="4" t="inlineStr">
        <x:is>
          <x:t xml:space="preserve">MELAO REI DOCE REDINHA</x:t>
        </x:is>
      </x:c>
      <x:c r="C32" s="4" t="inlineStr">
        <x:is>
          <x:t xml:space="preserve">MELAO REI DOCE REDINHA KG; MELAO REI DOCE REDINHA</x:t>
        </x:is>
      </x:c>
      <x:c r="D32" s="5" t="inlineStr">
        <x:is>
          <x:t xml:space="preserve"/>
        </x:is>
      </x:c>
      <x:c r="E32" s="5" t="inlineStr">
        <x:is>
          <x:t xml:space="preserve"/>
        </x:is>
      </x:c>
      <x:c r="F32" s="5" t="inlineStr">
        <x:is>
          <x:t xml:space="preserve">PESO</x:t>
        </x:is>
      </x:c>
      <x:c r="G32" s="6" t="inlineStr">
        <x:is>
          <x:t xml:space="preserve"/>
        </x:is>
      </x:c>
      <x:c r="H32" s="6" t="inlineStr">
        <x:is>
          <x:t xml:space="preserve"/>
        </x:is>
      </x:c>
      <x:c r="I32" s="6" t="inlineStr">
        <x:is>
          <x:t xml:space="preserve"/>
        </x:is>
      </x:c>
      <x:c r="J32" s="4" t="inlineStr">
        <x:is>
          <x:t xml:space="preserve">REVISAR</x:t>
        </x:is>
      </x:c>
      <x:c r="K32" s="4" t="inlineStr">
        <x:is>
          <x:t xml:space="preserve">Print do Brasão frutas.</x:t>
        </x:is>
      </x:c>
      <x:c r="L32" s="4" t="str">
        <x:f>IF(OR(F32="",A32="",B32=""),"PENDENTE - cadastro incompleto",IF(F32="CAIXA","OK",IF(F32="PESO",IF(G32&gt;0,"OK","PENDENTE - preencher peso_caixa"),IF(OR(F32="UNIDADE",F32="UND"),IF(H32&gt;0,"OK","PENDENTE - preencher itens_por_caixa"),IF(OR(F32="BANDEJA",F32="BDJ"),IF(I32&gt;0,"OK","PENDENTE - preencher bandejas_por_caixa"),"PENDENTE - modo inválido")))))</x:f>
        <x:v>PENDENTE - preencher peso_caixa</x:v>
      </x:c>
    </x:row>
    <x:row r="33" ht="30" customHeight="1">
      <x:c r="A33" s="4" t="inlineStr">
        <x:is>
          <x:t xml:space="preserve">FRUTAS</x:t>
        </x:is>
      </x:c>
      <x:c r="B33" s="4" t="inlineStr">
        <x:is>
          <x:t xml:space="preserve">MELAO SAPO</x:t>
        </x:is>
      </x:c>
      <x:c r="C33" s="4" t="inlineStr">
        <x:is>
          <x:t xml:space="preserve">MELAO SAPO KG; MELAO SAPO</x:t>
        </x:is>
      </x:c>
      <x:c r="D33" s="5" t="inlineStr">
        <x:is>
          <x:t xml:space="preserve"/>
        </x:is>
      </x:c>
      <x:c r="E33" s="5" t="inlineStr">
        <x:is>
          <x:t xml:space="preserve"/>
        </x:is>
      </x:c>
      <x:c r="F33" s="5" t="inlineStr">
        <x:is>
          <x:t xml:space="preserve">PESO</x:t>
        </x:is>
      </x:c>
      <x:c r="G33" s="6" t="inlineStr">
        <x:is>
          <x:t xml:space="preserve"/>
        </x:is>
      </x:c>
      <x:c r="H33" s="6" t="inlineStr">
        <x:is>
          <x:t xml:space="preserve"/>
        </x:is>
      </x:c>
      <x:c r="I33" s="6" t="inlineStr">
        <x:is>
          <x:t xml:space="preserve"/>
        </x:is>
      </x:c>
      <x:c r="J33" s="4" t="inlineStr">
        <x:is>
          <x:t xml:space="preserve">REVISAR</x:t>
        </x:is>
      </x:c>
      <x:c r="K33" s="4" t="inlineStr">
        <x:is>
          <x:t xml:space="preserve">Print do Brasão frutas.</x:t>
        </x:is>
      </x:c>
      <x:c r="L33" s="4" t="str">
        <x:f>IF(OR(F33="",A33="",B33=""),"PENDENTE - cadastro incompleto",IF(F33="CAIXA","OK",IF(F33="PESO",IF(G33&gt;0,"OK","PENDENTE - preencher peso_caixa"),IF(OR(F33="UNIDADE",F33="UND"),IF(H33&gt;0,"OK","PENDENTE - preencher itens_por_caixa"),IF(OR(F33="BANDEJA",F33="BDJ"),IF(I33&gt;0,"OK","PENDENTE - preencher bandejas_por_caixa"),"PENDENTE - modo inválido")))))</x:f>
        <x:v>PENDENTE - preencher peso_caixa</x:v>
      </x:c>
    </x:row>
  </x:sheetData>
  <x:conditionalFormatting sqref="L2:L33">
    <x:cfRule type="expression" dxfId="0" priority="1">
      <x:formula>LEFT(L2,2)="OK"</x:formula>
    </x:cfRule>
    <x:cfRule type="expression" dxfId="1" priority="2">
      <x:formula>LEFT(L2,8)="PENDENTE"</x:formula>
    </x:cfRule>
  </x:conditionalFormatting>
  <x:pageMargins left="0.7" right="0.7" top="0.75" bottom="0.75" header="0.3" footer="0.3"/>
  <x:legacyDrawing xmlns:r="http://schemas.openxmlformats.org/officeDocument/2006/relationships" r:id="R5aee1580e30f48a6"/>
  <x:tableParts count="1">
    <x:tablePart xmlns:r="http://schemas.openxmlformats.org/officeDocument/2006/relationships" r:id="R59114ae3d2fa462e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10" customWidth="1"/>
  </x:cols>
  <x:sheetData>
    <x:row r="1">
      <x:c r="A1" s="7" t="inlineStr">
        <x:is>
          <x:t xml:space="preserve">BASE THOTH BRASAO / KROSS</x:t>
        </x:is>
      </x:c>
    </x:row>
    <x:row r="2" ht="32" customHeight="1">
      <x:c r="A2" s="8" t="inlineStr">
        <x:is>
          <x:t xml:space="preserve">Objetivo</x:t>
        </x:is>
      </x:c>
      <x:c r="B2" s="8" t="inlineStr">
        <x:is>
          <x:t xml:space="preserve">Cadastrar produtos e sinônimos para o app encontrar e converter corretamente.</x:t>
        </x:is>
      </x:c>
    </x:row>
    <x:row r="3" ht="32" customHeight="1">
      <x:c r="A3" s="8" t="inlineStr">
        <x:is>
          <x:t xml:space="preserve">Como preencher</x:t>
        </x:is>
      </x:c>
      <x:c r="B3" s="8" t="inlineStr">
        <x:is>
          <x:t xml:space="preserve">1) Mantenha uma linha por produto_base. 2) Inclua no campo sinonimos as variações do PDF separadas por ';'. 3) Defina modo_conversao. 4) Preencha apenas o fator correspondente.</x:t>
        </x:is>
      </x:c>
    </x:row>
    <x:row r="4" ht="32" customHeight="1">
      <x:c r="A4" s="8" t="inlineStr">
        <x:is>
          <x:t xml:space="preserve">Modo CAIXA</x:t>
        </x:is>
      </x:c>
      <x:c r="B4" s="8" t="inlineStr">
        <x:is>
          <x:t xml:space="preserve">Quando o pedido já vem em caixas. Não precisa preencher peso_caixa, itens_por_caixa ou bandejas_por_caixa.</x:t>
        </x:is>
      </x:c>
    </x:row>
    <x:row r="5" ht="32" customHeight="1">
      <x:c r="A5" s="8" t="inlineStr">
        <x:is>
          <x:t xml:space="preserve">Modo PESO</x:t>
        </x:is>
      </x:c>
      <x:c r="B5" s="8" t="inlineStr">
        <x:is>
          <x:t xml:space="preserve">Preencha peso_caixa. Ex.: 20 significa que 400 kg viram 20 caixas.</x:t>
        </x:is>
      </x:c>
    </x:row>
    <x:row r="6" ht="32" customHeight="1">
      <x:c r="A6" s="8" t="inlineStr">
        <x:is>
          <x:t xml:space="preserve">Modo UNIDADE / UND</x:t>
        </x:is>
      </x:c>
      <x:c r="B6" s="8" t="inlineStr">
        <x:is>
          <x:t xml:space="preserve">Preencha itens_por_caixa. Ex.: 12 unidades por caixa.</x:t>
        </x:is>
      </x:c>
    </x:row>
    <x:row r="7" ht="32" customHeight="1">
      <x:c r="A7" s="8" t="inlineStr">
        <x:is>
          <x:t xml:space="preserve">Modo BANDEJA / BDJ</x:t>
        </x:is>
      </x:c>
      <x:c r="B7" s="8" t="inlineStr">
        <x:is>
          <x:t xml:space="preserve">Preencha bandejas_por_caixa. Ex.: 10 bandejas por caixa.</x:t>
        </x:is>
      </x:c>
    </x:row>
    <x:row r="8" ht="32" customHeight="1">
      <x:c r="A8" s="8" t="inlineStr">
        <x:is>
          <x:t xml:space="preserve">Já confirmado</x:t>
        </x:is>
      </x:c>
      <x:c r="B8" s="8" t="inlineStr">
        <x:is>
          <x:t xml:space="preserve">Laranja Kinkan = 20kg/caixa; Laranja Máquina de Suco = 20kg/caixa; Limão Siciliano = 20kg/caixa; Limão Tahiti = 20kg/caixa.</x:t>
        </x:is>
      </x:c>
    </x:row>
    <x:row r="9" ht="32" customHeight="1">
      <x:c r="A9" s="8" t="inlineStr">
        <x:is>
          <x:t xml:space="preserve">Atenção</x:t>
        </x:is>
      </x:c>
      <x:c r="B9" s="8" t="inlineStr">
        <x:is>
          <x:t xml:space="preserve">Linhas amarelas ainda precisam de revisão dos fatores. Os nomes e sinônimos já ajudam a reduzir 'Produto não encontrado na base'.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45" customWidth="1"/>
  </x:cols>
  <x:sheetData>
    <x:row r="1">
      <x:c r="A1" s="9" t="inlineStr">
        <x:is>
          <x:t xml:space="preserve">Indicador</x:t>
        </x:is>
      </x:c>
      <x:c r="B1" s="9" t="inlineStr">
        <x:is>
          <x:t xml:space="preserve">Valor</x:t>
        </x:is>
      </x:c>
    </x:row>
    <x:row r="2">
      <x:c r="A2" s="4" t="inlineStr">
        <x:is>
          <x:t xml:space="preserve">Produtos cadastrados</x:t>
        </x:is>
      </x:c>
      <x:c r="B2" s="4">
        <x:f>COUNTA(BASE_PRODUTOS!B:B)-1</x:f>
        <x:v>32</x:v>
      </x:c>
    </x:row>
    <x:row r="3">
      <x:c r="A3" s="4" t="inlineStr">
        <x:is>
          <x:t xml:space="preserve">Produtos confirmados</x:t>
        </x:is>
      </x:c>
      <x:c r="B3" s="4">
        <x:f>COUNTIF(BASE_PRODUTOS!J:J,"CONFIRMADO")</x:f>
        <x:v>4</x:v>
      </x:c>
    </x:row>
    <x:row r="4">
      <x:c r="A4" s="4" t="inlineStr">
        <x:is>
          <x:t xml:space="preserve">Produtos pendentes de fator</x:t>
        </x:is>
      </x:c>
      <x:c r="B4" s="4">
        <x:f>COUNTIF(BASE_PRODUTOS!L:L,"PENDENTE*")</x:f>
        <x:v>0</x:v>
      </x:c>
    </x:row>
    <x:row r="5">
      <x:c r="A5" s="4" t="n"/>
      <x:c r="B5" s="4" t="n"/>
    </x:row>
    <x:row r="6">
      <x:c r="A6" s="4" t="inlineStr">
        <x:is>
          <x:t xml:space="preserve">Próximo passo</x:t>
        </x:is>
      </x:c>
      <x:c r="B6" s="4" t="inlineStr">
        <x:is>
          <x:t xml:space="preserve">Revise as linhas amarelas na aba BASE_PRODUTOS.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s="10" t="inlineStr">
        <x:is>
          <x:t xml:space="preserve">Use o filtro da aba BASE_PRODUTOS na coluna 'validacao' para localizar apenas as pendências.</x:t>
        </x:is>
      </x:c>
    </x:row>
  </x:sheetData>
  <x:pageMargins left="0.7" right="0.7" top="0.75" bottom="0.75" header="0.3" footer="0.3"/>
</x:worksheet>
</file>